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regional_model\data\"/>
    </mc:Choice>
  </mc:AlternateContent>
  <xr:revisionPtr revIDLastSave="0" documentId="13_ncr:1_{C53EB798-2D96-487C-8AA3-610B34A39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" i="1" l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</calcChain>
</file>

<file path=xl/sharedStrings.xml><?xml version="1.0" encoding="utf-8"?>
<sst xmlns="http://schemas.openxmlformats.org/spreadsheetml/2006/main" count="228" uniqueCount="25">
  <si>
    <t>Наименование</t>
  </si>
  <si>
    <t>Тип</t>
  </si>
  <si>
    <t>Продукт</t>
  </si>
  <si>
    <t>Ед.изм</t>
  </si>
  <si>
    <t xml:space="preserve">система сбора газа </t>
  </si>
  <si>
    <t>Добыча</t>
  </si>
  <si>
    <t>Нефть</t>
  </si>
  <si>
    <t>тыс.т/год</t>
  </si>
  <si>
    <t>Вода</t>
  </si>
  <si>
    <t>ПНГ</t>
  </si>
  <si>
    <t>СГК</t>
  </si>
  <si>
    <t>млн.м3/год</t>
  </si>
  <si>
    <t>ПГ</t>
  </si>
  <si>
    <t>СОГ</t>
  </si>
  <si>
    <t>Давление</t>
  </si>
  <si>
    <t>МПа</t>
  </si>
  <si>
    <t>Температура</t>
  </si>
  <si>
    <r>
      <rPr>
        <vertAlign val="superscript"/>
        <sz val="11"/>
        <color theme="1"/>
        <rFont val="Calibri"/>
        <scheme val="minor"/>
      </rPr>
      <t>о</t>
    </r>
    <r>
      <rPr>
        <sz val="11"/>
        <color theme="1"/>
        <rFont val="Calibri"/>
        <family val="2"/>
        <scheme val="minor"/>
      </rPr>
      <t>С</t>
    </r>
  </si>
  <si>
    <t xml:space="preserve">система сбора жидкости </t>
  </si>
  <si>
    <t>ГВТ УКПГ-УКПГ-3</t>
  </si>
  <si>
    <t>Поставка</t>
  </si>
  <si>
    <t>ГВТ БМУПН - УКПГ</t>
  </si>
  <si>
    <t>БМУПН-т.вр.</t>
  </si>
  <si>
    <t>УКПГ - т.вр.</t>
  </si>
  <si>
    <t>т.вр. - ПСП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</si>
</sst>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GPN_DIN Condensed"/>
    </font>
    <font>
      <b/>
      <sz val="11"/>
      <color theme="1"/>
      <name val="Calibri"/>
      <scheme val="minor"/>
    </font>
    <font>
      <vertAlign val="superscript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1" fontId="0" fillId="0" borderId="1" xfId="1" applyNumberFormat="1" applyFont="1" applyBorder="1"/>
    <xf numFmtId="0" fontId="0" fillId="0" borderId="0" xfId="0" applyAlignment="1">
      <alignment horizontal="left"/>
    </xf>
    <xf numFmtId="0" fontId="3" fillId="0" borderId="0" xfId="2" applyFont="1" applyAlignment="1">
      <alignment horizontal="center" vertical="center"/>
    </xf>
    <xf numFmtId="0" fontId="2" fillId="0" borderId="0" xfId="2" applyAlignment="1">
      <alignment horizontal="center"/>
    </xf>
    <xf numFmtId="164" fontId="2" fillId="0" borderId="0" xfId="2" applyNumberFormat="1"/>
    <xf numFmtId="0" fontId="3" fillId="0" borderId="0" xfId="3" applyFont="1" applyAlignment="1">
      <alignment horizontal="center" vertical="center"/>
    </xf>
    <xf numFmtId="0" fontId="2" fillId="0" borderId="0" xfId="3" applyAlignment="1">
      <alignment horizontal="center"/>
    </xf>
    <xf numFmtId="164" fontId="4" fillId="0" borderId="0" xfId="2" applyNumberFormat="1" applyFont="1"/>
    <xf numFmtId="0" fontId="3" fillId="0" borderId="1" xfId="3" applyFont="1" applyBorder="1" applyAlignment="1">
      <alignment horizontal="center" vertical="center"/>
    </xf>
    <xf numFmtId="0" fontId="2" fillId="0" borderId="1" xfId="3" applyBorder="1" applyAlignment="1">
      <alignment horizontal="center"/>
    </xf>
    <xf numFmtId="164" fontId="2" fillId="0" borderId="1" xfId="2" applyNumberFormat="1" applyBorder="1"/>
  </cellXfs>
  <cellStyles count="4">
    <cellStyle name="Обычный" xfId="0" builtinId="0"/>
    <cellStyle name="Обычный 2" xfId="3" xr:uid="{B51493AD-E7B0-44B0-B52B-9EFD51B38E82}"/>
    <cellStyle name="Обычный 3" xfId="2" xr:uid="{57461FC7-321D-4D70-87F0-8F9879B83EC2}"/>
    <cellStyle name="Финансовый" xfId="1" builtinId="3"/>
  </cellStyles>
  <dxfs count="4"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workbookViewId="0">
      <selection sqref="A1:Y57"/>
    </sheetView>
  </sheetViews>
  <sheetFormatPr defaultRowHeight="14.4"/>
  <sheetData>
    <row r="1" spans="1:25">
      <c r="A1" s="1" t="s">
        <v>0</v>
      </c>
      <c r="B1" s="1" t="s">
        <v>1</v>
      </c>
      <c r="C1" s="2" t="s">
        <v>2</v>
      </c>
      <c r="D1" s="3" t="s">
        <v>3</v>
      </c>
      <c r="E1" s="4">
        <v>2026</v>
      </c>
      <c r="F1" s="4">
        <f>E1+1</f>
        <v>2027</v>
      </c>
      <c r="G1" s="4">
        <f t="shared" ref="G1:Y1" si="0">F1+1</f>
        <v>2028</v>
      </c>
      <c r="H1" s="4">
        <f t="shared" si="0"/>
        <v>2029</v>
      </c>
      <c r="I1" s="4">
        <f t="shared" si="0"/>
        <v>2030</v>
      </c>
      <c r="J1" s="4">
        <f t="shared" si="0"/>
        <v>2031</v>
      </c>
      <c r="K1" s="4">
        <f t="shared" si="0"/>
        <v>2032</v>
      </c>
      <c r="L1" s="4">
        <f t="shared" si="0"/>
        <v>2033</v>
      </c>
      <c r="M1" s="4">
        <f t="shared" si="0"/>
        <v>2034</v>
      </c>
      <c r="N1" s="4">
        <f t="shared" si="0"/>
        <v>2035</v>
      </c>
      <c r="O1" s="4">
        <f t="shared" si="0"/>
        <v>2036</v>
      </c>
      <c r="P1" s="4">
        <f t="shared" si="0"/>
        <v>2037</v>
      </c>
      <c r="Q1" s="4">
        <f t="shared" si="0"/>
        <v>2038</v>
      </c>
      <c r="R1" s="4">
        <f t="shared" si="0"/>
        <v>2039</v>
      </c>
      <c r="S1" s="4">
        <f t="shared" si="0"/>
        <v>2040</v>
      </c>
      <c r="T1" s="4">
        <f t="shared" si="0"/>
        <v>2041</v>
      </c>
      <c r="U1" s="4">
        <f t="shared" si="0"/>
        <v>2042</v>
      </c>
      <c r="V1" s="4">
        <f t="shared" si="0"/>
        <v>2043</v>
      </c>
      <c r="W1" s="4">
        <f t="shared" si="0"/>
        <v>2044</v>
      </c>
      <c r="X1" s="4">
        <f t="shared" si="0"/>
        <v>2045</v>
      </c>
      <c r="Y1" s="4">
        <f t="shared" si="0"/>
        <v>2046</v>
      </c>
    </row>
    <row r="2" spans="1:25">
      <c r="A2" s="5" t="s">
        <v>4</v>
      </c>
      <c r="B2" s="5" t="s">
        <v>5</v>
      </c>
      <c r="C2" s="6" t="s">
        <v>6</v>
      </c>
      <c r="D2" s="7" t="s">
        <v>7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>
      <c r="A3" s="5" t="s">
        <v>4</v>
      </c>
      <c r="B3" s="5" t="s">
        <v>5</v>
      </c>
      <c r="C3" s="6" t="s">
        <v>8</v>
      </c>
      <c r="D3" s="7" t="s">
        <v>7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>
      <c r="A4" s="5" t="s">
        <v>4</v>
      </c>
      <c r="B4" s="5" t="s">
        <v>5</v>
      </c>
      <c r="C4" s="6" t="s">
        <v>9</v>
      </c>
      <c r="D4" s="7" t="s">
        <v>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>
      <c r="A5" s="5" t="s">
        <v>4</v>
      </c>
      <c r="B5" s="5" t="s">
        <v>5</v>
      </c>
      <c r="C5" s="6" t="s">
        <v>10</v>
      </c>
      <c r="D5" s="7" t="s">
        <v>11</v>
      </c>
      <c r="E5" s="8">
        <v>6.027863</v>
      </c>
      <c r="F5" s="8">
        <v>87.340935999999999</v>
      </c>
      <c r="G5" s="8">
        <v>99.361333999999999</v>
      </c>
      <c r="H5" s="8">
        <v>97.324184000000002</v>
      </c>
      <c r="I5" s="8">
        <v>96.541679000000016</v>
      </c>
      <c r="J5" s="8">
        <v>99.638779096226585</v>
      </c>
      <c r="K5" s="8">
        <v>96.640824430161615</v>
      </c>
      <c r="L5" s="8">
        <v>98.108873868287077</v>
      </c>
      <c r="M5" s="8">
        <v>96.802250275577592</v>
      </c>
      <c r="N5" s="8">
        <v>95.638610894406753</v>
      </c>
      <c r="O5" s="8">
        <v>94.942049661082422</v>
      </c>
      <c r="P5" s="8">
        <v>95.305185397641296</v>
      </c>
      <c r="Q5" s="8">
        <v>85.253159962409327</v>
      </c>
      <c r="R5" s="8">
        <v>70.527848960895923</v>
      </c>
      <c r="S5" s="8">
        <v>59.618714652246325</v>
      </c>
      <c r="T5" s="8">
        <v>45.729559218611818</v>
      </c>
      <c r="U5" s="8">
        <v>39.092990695581641</v>
      </c>
      <c r="V5" s="8">
        <v>33.616376908451301</v>
      </c>
      <c r="W5" s="8">
        <v>30.139949258720847</v>
      </c>
      <c r="X5" s="8">
        <v>26.924894984024448</v>
      </c>
      <c r="Y5" s="8">
        <v>24.138477167953798</v>
      </c>
    </row>
    <row r="6" spans="1:25">
      <c r="A6" s="5" t="s">
        <v>4</v>
      </c>
      <c r="B6" s="5" t="s">
        <v>5</v>
      </c>
      <c r="C6" s="6" t="s">
        <v>12</v>
      </c>
      <c r="D6" s="7" t="s">
        <v>7</v>
      </c>
      <c r="E6" s="8">
        <v>290.97939199999996</v>
      </c>
      <c r="F6" s="8">
        <v>4394.6792960000002</v>
      </c>
      <c r="G6" s="8">
        <v>5164.7036470000003</v>
      </c>
      <c r="H6" s="8">
        <v>5198.2042959999999</v>
      </c>
      <c r="I6" s="8">
        <v>5222.7864199999995</v>
      </c>
      <c r="J6" s="8">
        <v>5395.3625874999143</v>
      </c>
      <c r="K6" s="8">
        <v>5568.378014587438</v>
      </c>
      <c r="L6" s="8">
        <v>5829.3571985168546</v>
      </c>
      <c r="M6" s="8">
        <v>5907.1701694166559</v>
      </c>
      <c r="N6" s="8">
        <v>5955.68296980385</v>
      </c>
      <c r="O6" s="8">
        <v>6026.8236740820266</v>
      </c>
      <c r="P6" s="8">
        <v>6129.7709805224222</v>
      </c>
      <c r="Q6" s="8">
        <v>5521.3808790842777</v>
      </c>
      <c r="R6" s="8">
        <v>4578.8652410826626</v>
      </c>
      <c r="S6" s="8">
        <v>3876.531886484293</v>
      </c>
      <c r="T6" s="8">
        <v>2977.1871588275103</v>
      </c>
      <c r="U6" s="8">
        <v>2548.2689156077658</v>
      </c>
      <c r="V6" s="8">
        <v>2193.273743089921</v>
      </c>
      <c r="W6" s="8">
        <v>1968.728058199549</v>
      </c>
      <c r="X6" s="8">
        <v>1761.9429680076501</v>
      </c>
      <c r="Y6" s="8">
        <v>1584.0608990756591</v>
      </c>
    </row>
    <row r="7" spans="1:25">
      <c r="A7" s="5" t="s">
        <v>4</v>
      </c>
      <c r="B7" s="5" t="s">
        <v>5</v>
      </c>
      <c r="C7" s="6" t="s">
        <v>13</v>
      </c>
      <c r="D7" s="7" t="s">
        <v>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>
      <c r="A8" s="5" t="s">
        <v>4</v>
      </c>
      <c r="B8" s="5" t="s">
        <v>5</v>
      </c>
      <c r="C8" s="9" t="s">
        <v>14</v>
      </c>
      <c r="D8" s="10" t="s">
        <v>15</v>
      </c>
      <c r="E8" s="11">
        <v>9.7330443621538265</v>
      </c>
      <c r="F8" s="11">
        <v>8.5981928832111887</v>
      </c>
      <c r="G8" s="11">
        <v>7.9094994323246235</v>
      </c>
      <c r="H8" s="11">
        <v>7.2337049589698621</v>
      </c>
      <c r="I8" s="11">
        <v>6.6235777298559775</v>
      </c>
      <c r="J8" s="11">
        <v>5.7694871256952194</v>
      </c>
      <c r="K8" s="11">
        <v>4.5949561164736465</v>
      </c>
      <c r="L8" s="11">
        <v>3.1327924265578471</v>
      </c>
      <c r="M8" s="11">
        <v>2</v>
      </c>
      <c r="N8" s="11">
        <v>2</v>
      </c>
      <c r="O8" s="11">
        <v>2</v>
      </c>
      <c r="P8" s="11">
        <v>2</v>
      </c>
      <c r="Q8" s="11">
        <v>2</v>
      </c>
      <c r="R8" s="11">
        <v>2</v>
      </c>
      <c r="S8" s="11">
        <v>2</v>
      </c>
      <c r="T8" s="11">
        <v>2</v>
      </c>
      <c r="U8" s="11">
        <v>2</v>
      </c>
      <c r="V8" s="11">
        <v>2</v>
      </c>
      <c r="W8" s="11">
        <v>2</v>
      </c>
      <c r="X8" s="11">
        <v>2</v>
      </c>
      <c r="Y8" s="11">
        <v>2</v>
      </c>
    </row>
    <row r="9" spans="1:25" ht="16.2">
      <c r="A9" s="5" t="s">
        <v>4</v>
      </c>
      <c r="B9" s="1" t="s">
        <v>5</v>
      </c>
      <c r="C9" s="12" t="s">
        <v>16</v>
      </c>
      <c r="D9" s="13" t="s">
        <v>17</v>
      </c>
      <c r="E9" s="14">
        <v>-2.0327991431369283</v>
      </c>
      <c r="F9" s="14">
        <v>0.20101626724757202</v>
      </c>
      <c r="G9" s="14">
        <v>-1.6580954062428275</v>
      </c>
      <c r="H9" s="14">
        <v>-1.0338173224319114</v>
      </c>
      <c r="I9" s="14">
        <v>-0.61821328421616739</v>
      </c>
      <c r="J9" s="14">
        <v>-0.98322657940416591</v>
      </c>
      <c r="K9" s="14">
        <v>-1.4257053839323339</v>
      </c>
      <c r="L9" s="14">
        <v>-3.3754818092483498</v>
      </c>
      <c r="M9" s="14">
        <v>-1.9671176755174773</v>
      </c>
      <c r="N9" s="14">
        <v>-2.9061957006809949</v>
      </c>
      <c r="O9" s="14">
        <v>-2.8284944563208665</v>
      </c>
      <c r="P9" s="14">
        <v>-3.0135614230546004</v>
      </c>
      <c r="Q9" s="14">
        <v>-3.2235881185943112</v>
      </c>
      <c r="R9" s="14">
        <v>-3.4287271703939499</v>
      </c>
      <c r="S9" s="14">
        <v>-3.5842374996773052</v>
      </c>
      <c r="T9" s="14">
        <v>-3.703006496853956</v>
      </c>
      <c r="U9" s="14">
        <v>-3.7898312768940343</v>
      </c>
      <c r="V9" s="14">
        <v>-3.9130816599889604</v>
      </c>
      <c r="W9" s="14">
        <v>-3.9605078326996397</v>
      </c>
      <c r="X9" s="14">
        <v>-4.0299710785090719</v>
      </c>
      <c r="Y9" s="14">
        <v>-4.0904372352680163</v>
      </c>
    </row>
    <row r="10" spans="1:25">
      <c r="A10" s="5" t="s">
        <v>18</v>
      </c>
      <c r="B10" s="5" t="s">
        <v>5</v>
      </c>
      <c r="C10" s="6" t="s">
        <v>6</v>
      </c>
      <c r="D10" s="7" t="s">
        <v>7</v>
      </c>
      <c r="E10" s="8">
        <v>1347.291776</v>
      </c>
      <c r="F10" s="8">
        <v>2150.5575870000002</v>
      </c>
      <c r="G10" s="8">
        <v>2226.686099</v>
      </c>
      <c r="H10" s="8">
        <v>2193.8188799999998</v>
      </c>
      <c r="I10" s="8">
        <v>2074.3395460000002</v>
      </c>
      <c r="J10" s="8">
        <v>1772.2302249999998</v>
      </c>
      <c r="K10" s="8">
        <v>1446.248216</v>
      </c>
      <c r="L10" s="8">
        <v>1176.8657579999999</v>
      </c>
      <c r="M10" s="8">
        <v>985.23422700000015</v>
      </c>
      <c r="N10" s="8">
        <v>841.59208200000012</v>
      </c>
      <c r="O10" s="8">
        <v>728.67279699999995</v>
      </c>
      <c r="P10" s="8">
        <v>633.32116200000007</v>
      </c>
      <c r="Q10" s="8">
        <v>563.04204199999992</v>
      </c>
      <c r="R10" s="8">
        <v>506.93208499999997</v>
      </c>
      <c r="S10" s="8">
        <v>459.609013</v>
      </c>
      <c r="T10" s="8">
        <v>419.11386300000004</v>
      </c>
      <c r="U10" s="8">
        <v>386.94455999999991</v>
      </c>
      <c r="V10" s="8">
        <v>357.65482500000002</v>
      </c>
      <c r="W10" s="8">
        <v>332.36458300000004</v>
      </c>
      <c r="X10" s="8">
        <v>307.41473400000001</v>
      </c>
      <c r="Y10" s="8">
        <v>287.30644600000005</v>
      </c>
    </row>
    <row r="11" spans="1:25">
      <c r="A11" s="5" t="s">
        <v>18</v>
      </c>
      <c r="B11" s="5" t="s">
        <v>5</v>
      </c>
      <c r="C11" s="6" t="s">
        <v>8</v>
      </c>
      <c r="D11" s="7" t="s">
        <v>7</v>
      </c>
      <c r="E11" s="8">
        <v>436.72134200000011</v>
      </c>
      <c r="F11" s="8">
        <v>673.09564499999999</v>
      </c>
      <c r="G11" s="8">
        <v>798.59378699999945</v>
      </c>
      <c r="H11" s="8">
        <v>1211.9787929999998</v>
      </c>
      <c r="I11" s="8">
        <v>1818.2142359999993</v>
      </c>
      <c r="J11" s="8">
        <v>2417.5648770000007</v>
      </c>
      <c r="K11" s="8">
        <v>2898.3215770000002</v>
      </c>
      <c r="L11" s="8">
        <v>3229.0160690000002</v>
      </c>
      <c r="M11" s="8">
        <v>3472.9398570000003</v>
      </c>
      <c r="N11" s="8">
        <v>3656.1578669999999</v>
      </c>
      <c r="O11" s="8">
        <v>3808.164021</v>
      </c>
      <c r="P11" s="8">
        <v>3911.0242500000004</v>
      </c>
      <c r="Q11" s="8">
        <v>4006.1175860000003</v>
      </c>
      <c r="R11" s="8">
        <v>4088.7322289999993</v>
      </c>
      <c r="S11" s="8">
        <v>4131.5392739999998</v>
      </c>
      <c r="T11" s="8">
        <v>4141.3888040000002</v>
      </c>
      <c r="U11" s="8">
        <v>4193.5666350000001</v>
      </c>
      <c r="V11" s="8">
        <v>4187.8167479999993</v>
      </c>
      <c r="W11" s="8">
        <v>4166.5678279999993</v>
      </c>
      <c r="X11" s="8">
        <v>4087.7579380000002</v>
      </c>
      <c r="Y11" s="8">
        <v>4056.8655790000003</v>
      </c>
    </row>
    <row r="12" spans="1:25">
      <c r="A12" s="5" t="s">
        <v>18</v>
      </c>
      <c r="B12" s="5" t="s">
        <v>5</v>
      </c>
      <c r="C12" s="6" t="s">
        <v>9</v>
      </c>
      <c r="D12" s="7" t="s">
        <v>11</v>
      </c>
      <c r="E12" s="8">
        <v>509.04391599999997</v>
      </c>
      <c r="F12" s="8">
        <v>1084.3230100000001</v>
      </c>
      <c r="G12" s="8">
        <v>1225.5560969999999</v>
      </c>
      <c r="H12" s="8">
        <v>1225.6811830000001</v>
      </c>
      <c r="I12" s="8">
        <v>1024.1984570000002</v>
      </c>
      <c r="J12" s="8">
        <v>899.02519300000017</v>
      </c>
      <c r="K12" s="8">
        <v>794.60817799999995</v>
      </c>
      <c r="L12" s="8">
        <v>679.17936199999997</v>
      </c>
      <c r="M12" s="8">
        <v>688.29390399999988</v>
      </c>
      <c r="N12" s="8">
        <v>686.41365900000005</v>
      </c>
      <c r="O12" s="8">
        <v>558.08158500000013</v>
      </c>
      <c r="P12" s="8">
        <v>446.07147300000003</v>
      </c>
      <c r="Q12" s="8">
        <v>364.417416</v>
      </c>
      <c r="R12" s="8">
        <v>302.21678599999996</v>
      </c>
      <c r="S12" s="8">
        <v>254.53962899999999</v>
      </c>
      <c r="T12" s="8">
        <v>216.19279899999998</v>
      </c>
      <c r="U12" s="8">
        <v>186.212051</v>
      </c>
      <c r="V12" s="8">
        <v>161.58318400000002</v>
      </c>
      <c r="W12" s="8">
        <v>141.73761200000001</v>
      </c>
      <c r="X12" s="8">
        <v>124.33272100000001</v>
      </c>
      <c r="Y12" s="8">
        <v>110.517261</v>
      </c>
    </row>
    <row r="13" spans="1:25">
      <c r="A13" s="5" t="s">
        <v>18</v>
      </c>
      <c r="B13" s="5" t="s">
        <v>5</v>
      </c>
      <c r="C13" s="6" t="s">
        <v>10</v>
      </c>
      <c r="D13" s="7" t="s">
        <v>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</row>
    <row r="14" spans="1:25">
      <c r="A14" s="5" t="s">
        <v>18</v>
      </c>
      <c r="B14" s="5" t="s">
        <v>5</v>
      </c>
      <c r="C14" s="6" t="s">
        <v>12</v>
      </c>
      <c r="D14" s="7" t="s">
        <v>11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</row>
    <row r="15" spans="1:25">
      <c r="A15" s="5" t="s">
        <v>18</v>
      </c>
      <c r="B15" s="5" t="s">
        <v>5</v>
      </c>
      <c r="C15" s="6" t="s">
        <v>13</v>
      </c>
      <c r="D15" s="7" t="s">
        <v>11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</row>
    <row r="16" spans="1:25">
      <c r="A16" s="5" t="s">
        <v>18</v>
      </c>
      <c r="B16" s="5" t="s">
        <v>5</v>
      </c>
      <c r="C16" s="9" t="s">
        <v>14</v>
      </c>
      <c r="D16" s="10" t="s">
        <v>15</v>
      </c>
      <c r="E16" s="11">
        <v>1.2</v>
      </c>
      <c r="F16" s="11">
        <v>1.2</v>
      </c>
      <c r="G16" s="11">
        <v>1.2</v>
      </c>
      <c r="H16" s="11">
        <v>1.2</v>
      </c>
      <c r="I16" s="11">
        <v>1.2</v>
      </c>
      <c r="J16" s="11">
        <v>1.2</v>
      </c>
      <c r="K16" s="11">
        <v>1.2</v>
      </c>
      <c r="L16" s="11">
        <v>1.2</v>
      </c>
      <c r="M16" s="11">
        <v>1.2</v>
      </c>
      <c r="N16" s="11">
        <v>1.2</v>
      </c>
      <c r="O16" s="11">
        <v>1.2</v>
      </c>
      <c r="P16" s="11">
        <v>1.2</v>
      </c>
      <c r="Q16" s="11">
        <v>1.2</v>
      </c>
      <c r="R16" s="11">
        <v>1.2</v>
      </c>
      <c r="S16" s="11">
        <v>1.2</v>
      </c>
      <c r="T16" s="11">
        <v>1.2</v>
      </c>
      <c r="U16" s="11">
        <v>1.2</v>
      </c>
      <c r="V16" s="11">
        <v>1.2</v>
      </c>
      <c r="W16" s="11">
        <v>1.2</v>
      </c>
      <c r="X16" s="11">
        <v>1.2</v>
      </c>
      <c r="Y16" s="11">
        <v>1.2</v>
      </c>
    </row>
    <row r="17" spans="1:25" ht="16.2">
      <c r="A17" s="5" t="s">
        <v>18</v>
      </c>
      <c r="B17" s="1" t="s">
        <v>5</v>
      </c>
      <c r="C17" s="12" t="s">
        <v>16</v>
      </c>
      <c r="D17" s="13" t="s">
        <v>17</v>
      </c>
      <c r="E17" s="14">
        <v>2.4</v>
      </c>
      <c r="F17" s="14">
        <v>2.4</v>
      </c>
      <c r="G17" s="14">
        <v>2.4</v>
      </c>
      <c r="H17" s="14">
        <v>2.2000000000000002</v>
      </c>
      <c r="I17" s="14">
        <v>2</v>
      </c>
      <c r="J17" s="14">
        <v>2</v>
      </c>
      <c r="K17" s="14">
        <v>2</v>
      </c>
      <c r="L17" s="14">
        <v>2</v>
      </c>
      <c r="M17" s="14">
        <v>2</v>
      </c>
      <c r="N17" s="14">
        <v>2</v>
      </c>
      <c r="O17" s="14">
        <v>2</v>
      </c>
      <c r="P17" s="14">
        <v>2</v>
      </c>
      <c r="Q17" s="14">
        <v>2</v>
      </c>
      <c r="R17" s="14">
        <v>2</v>
      </c>
      <c r="S17" s="14">
        <v>2</v>
      </c>
      <c r="T17" s="14">
        <v>2</v>
      </c>
      <c r="U17" s="14">
        <v>2</v>
      </c>
      <c r="V17" s="14">
        <v>2</v>
      </c>
      <c r="W17" s="14">
        <v>2</v>
      </c>
      <c r="X17" s="14">
        <v>2</v>
      </c>
      <c r="Y17" s="14">
        <v>2</v>
      </c>
    </row>
    <row r="18" spans="1:25">
      <c r="A18" s="5" t="s">
        <v>19</v>
      </c>
      <c r="B18" s="5" t="s">
        <v>20</v>
      </c>
      <c r="C18" s="6" t="s">
        <v>6</v>
      </c>
      <c r="D18" s="7" t="s">
        <v>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5" t="s">
        <v>19</v>
      </c>
      <c r="B19" s="5" t="s">
        <v>20</v>
      </c>
      <c r="C19" s="6" t="s">
        <v>8</v>
      </c>
      <c r="D19" s="7" t="s">
        <v>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5" t="s">
        <v>19</v>
      </c>
      <c r="B20" s="5" t="s">
        <v>20</v>
      </c>
      <c r="C20" s="6" t="s">
        <v>9</v>
      </c>
      <c r="D20" s="7" t="s">
        <v>11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5" t="s">
        <v>19</v>
      </c>
      <c r="B21" s="5" t="s">
        <v>20</v>
      </c>
      <c r="C21" s="6" t="s">
        <v>10</v>
      </c>
      <c r="D21" s="7" t="s">
        <v>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5" t="s">
        <v>19</v>
      </c>
      <c r="B22" s="5" t="s">
        <v>20</v>
      </c>
      <c r="C22" s="6" t="s">
        <v>12</v>
      </c>
      <c r="D22" s="7" t="s">
        <v>11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5" t="s">
        <v>19</v>
      </c>
      <c r="B23" s="5" t="s">
        <v>20</v>
      </c>
      <c r="C23" s="6" t="s">
        <v>13</v>
      </c>
      <c r="D23" s="7" t="s">
        <v>11</v>
      </c>
      <c r="E23" s="8">
        <v>657.12563179928998</v>
      </c>
      <c r="F23" s="8">
        <v>4858.720921628119</v>
      </c>
      <c r="G23" s="8">
        <v>5672.649433759294</v>
      </c>
      <c r="H23" s="8">
        <v>5703.4425938302447</v>
      </c>
      <c r="I23" s="8">
        <v>5571.4067364727907</v>
      </c>
      <c r="J23" s="8">
        <v>5633.5185962584837</v>
      </c>
      <c r="K23" s="8">
        <v>5711.9554329413349</v>
      </c>
      <c r="L23" s="8">
        <v>5862.5475876666042</v>
      </c>
      <c r="M23" s="8">
        <v>5940.8408351979124</v>
      </c>
      <c r="N23" s="8">
        <v>5983.8515564867766</v>
      </c>
      <c r="O23" s="8">
        <v>5950.5932288798376</v>
      </c>
      <c r="P23" s="8">
        <v>5959.0006803842207</v>
      </c>
      <c r="Q23" s="8">
        <v>5338.8844316686809</v>
      </c>
      <c r="R23" s="8">
        <v>4427.5264296499608</v>
      </c>
      <c r="S23" s="8">
        <v>3747.3926733683547</v>
      </c>
      <c r="T23" s="8">
        <v>2893.891558552813</v>
      </c>
      <c r="U23" s="8">
        <v>2477.8678574134537</v>
      </c>
      <c r="V23" s="8">
        <v>2133.6866212169807</v>
      </c>
      <c r="W23" s="8">
        <v>1912.707778190769</v>
      </c>
      <c r="X23" s="8">
        <v>1709.8755532712073</v>
      </c>
      <c r="Y23" s="8">
        <v>1536.281164001826</v>
      </c>
    </row>
    <row r="24" spans="1:25">
      <c r="A24" s="5" t="s">
        <v>19</v>
      </c>
      <c r="B24" s="5" t="s">
        <v>20</v>
      </c>
      <c r="C24" s="9" t="s">
        <v>14</v>
      </c>
      <c r="D24" s="10" t="s">
        <v>15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6.2">
      <c r="A25" s="1" t="s">
        <v>19</v>
      </c>
      <c r="B25" s="1" t="s">
        <v>20</v>
      </c>
      <c r="C25" s="12" t="s">
        <v>16</v>
      </c>
      <c r="D25" s="13" t="s">
        <v>17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5" t="s">
        <v>21</v>
      </c>
      <c r="B26" s="5" t="s">
        <v>20</v>
      </c>
      <c r="C26" s="6" t="s">
        <v>6</v>
      </c>
      <c r="D26" s="7" t="s">
        <v>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5" t="s">
        <v>21</v>
      </c>
      <c r="B27" s="5" t="s">
        <v>20</v>
      </c>
      <c r="C27" s="6" t="s">
        <v>8</v>
      </c>
      <c r="D27" s="7" t="s">
        <v>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5" t="s">
        <v>21</v>
      </c>
      <c r="B28" s="5" t="s">
        <v>20</v>
      </c>
      <c r="C28" s="6" t="s">
        <v>9</v>
      </c>
      <c r="D28" s="7" t="s">
        <v>11</v>
      </c>
      <c r="E28" s="8">
        <v>426.07348923842602</v>
      </c>
      <c r="F28" s="8">
        <v>907.58630799982495</v>
      </c>
      <c r="G28" s="8">
        <v>1025.7994371279699</v>
      </c>
      <c r="H28" s="8">
        <v>1025.9041350269099</v>
      </c>
      <c r="I28" s="8">
        <v>857.26161639578902</v>
      </c>
      <c r="J28" s="8">
        <v>752.49067684517695</v>
      </c>
      <c r="K28" s="8">
        <v>665.09286986124903</v>
      </c>
      <c r="L28" s="8">
        <v>568.47810471831303</v>
      </c>
      <c r="M28" s="8">
        <v>576.10704318646299</v>
      </c>
      <c r="N28" s="8">
        <v>574.53326433832694</v>
      </c>
      <c r="O28" s="8">
        <v>467.118377662059</v>
      </c>
      <c r="P28" s="8">
        <v>373.36509282793298</v>
      </c>
      <c r="Q28" s="8">
        <v>305.02004855386798</v>
      </c>
      <c r="R28" s="8">
        <v>252.95766528215</v>
      </c>
      <c r="S28" s="8">
        <v>213.05153537575001</v>
      </c>
      <c r="T28" s="8">
        <v>180.95495756431299</v>
      </c>
      <c r="U28" s="8">
        <v>155.86085171444</v>
      </c>
      <c r="V28" s="8">
        <v>135.24630949352999</v>
      </c>
      <c r="W28" s="8">
        <v>118.63542025156499</v>
      </c>
      <c r="X28" s="8">
        <v>104.06739889801101</v>
      </c>
      <c r="Y28" s="8">
        <v>92.503757603781807</v>
      </c>
    </row>
    <row r="29" spans="1:25">
      <c r="A29" s="5" t="s">
        <v>21</v>
      </c>
      <c r="B29" s="5" t="s">
        <v>20</v>
      </c>
      <c r="C29" s="6" t="s">
        <v>10</v>
      </c>
      <c r="D29" s="7" t="s">
        <v>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5" t="s">
        <v>21</v>
      </c>
      <c r="B30" s="5" t="s">
        <v>20</v>
      </c>
      <c r="C30" s="6" t="s">
        <v>12</v>
      </c>
      <c r="D30" s="7" t="s">
        <v>11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5" t="s">
        <v>21</v>
      </c>
      <c r="B31" s="5" t="s">
        <v>20</v>
      </c>
      <c r="C31" s="6" t="s">
        <v>13</v>
      </c>
      <c r="D31" s="7" t="s">
        <v>11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5" t="s">
        <v>21</v>
      </c>
      <c r="B32" s="5" t="s">
        <v>20</v>
      </c>
      <c r="C32" s="9" t="s">
        <v>14</v>
      </c>
      <c r="D32" s="10" t="s">
        <v>15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6.2">
      <c r="A33" s="1" t="s">
        <v>21</v>
      </c>
      <c r="B33" s="1" t="s">
        <v>20</v>
      </c>
      <c r="C33" s="12" t="s">
        <v>16</v>
      </c>
      <c r="D33" s="13" t="s">
        <v>17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5" t="s">
        <v>22</v>
      </c>
      <c r="B34" s="5" t="s">
        <v>20</v>
      </c>
      <c r="C34" s="6" t="s">
        <v>6</v>
      </c>
      <c r="D34" s="7" t="s">
        <v>7</v>
      </c>
      <c r="E34" s="8">
        <v>1346.3719958863801</v>
      </c>
      <c r="F34" s="8">
        <v>2149.06238532423</v>
      </c>
      <c r="G34" s="8">
        <v>2225.0016923453099</v>
      </c>
      <c r="H34" s="8">
        <v>2191.66783208267</v>
      </c>
      <c r="I34" s="8">
        <v>2071.5401247147702</v>
      </c>
      <c r="J34" s="8">
        <v>1768.8088270184901</v>
      </c>
      <c r="K34" s="8">
        <v>1442.34114638252</v>
      </c>
      <c r="L34" s="8">
        <v>1172.6351023193099</v>
      </c>
      <c r="M34" s="8">
        <v>980.75492551391903</v>
      </c>
      <c r="N34" s="8">
        <v>836.92639010284802</v>
      </c>
      <c r="O34" s="8">
        <v>723.85618969560596</v>
      </c>
      <c r="P34" s="8">
        <v>628.40676575520502</v>
      </c>
      <c r="Q34" s="8">
        <v>558.03129470507201</v>
      </c>
      <c r="R34" s="8">
        <v>501.83567341339102</v>
      </c>
      <c r="S34" s="8">
        <v>454.47257619001198</v>
      </c>
      <c r="T34" s="8">
        <v>413.97550171664801</v>
      </c>
      <c r="U34" s="8">
        <v>381.75056234293498</v>
      </c>
      <c r="V34" s="8">
        <v>352.47483973997998</v>
      </c>
      <c r="W34" s="8">
        <v>327.21643526266899</v>
      </c>
      <c r="X34" s="8">
        <v>302.368337241625</v>
      </c>
      <c r="Y34" s="8">
        <v>282.30230740690001</v>
      </c>
    </row>
    <row r="35" spans="1:25">
      <c r="A35" s="5" t="s">
        <v>22</v>
      </c>
      <c r="B35" s="5" t="s">
        <v>20</v>
      </c>
      <c r="C35" s="6" t="s">
        <v>8</v>
      </c>
      <c r="D35" s="7" t="s">
        <v>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>
      <c r="A36" s="5" t="s">
        <v>22</v>
      </c>
      <c r="B36" s="5" t="s">
        <v>20</v>
      </c>
      <c r="C36" s="6" t="s">
        <v>9</v>
      </c>
      <c r="D36" s="7" t="s">
        <v>11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>
      <c r="A37" s="5" t="s">
        <v>22</v>
      </c>
      <c r="B37" s="5" t="s">
        <v>20</v>
      </c>
      <c r="C37" s="6" t="s">
        <v>10</v>
      </c>
      <c r="D37" s="7" t="s">
        <v>7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>
      <c r="A38" s="5" t="s">
        <v>22</v>
      </c>
      <c r="B38" s="5" t="s">
        <v>20</v>
      </c>
      <c r="C38" s="6" t="s">
        <v>12</v>
      </c>
      <c r="D38" s="7" t="s">
        <v>11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>
      <c r="A39" s="5" t="s">
        <v>22</v>
      </c>
      <c r="B39" s="5" t="s">
        <v>20</v>
      </c>
      <c r="C39" s="6" t="s">
        <v>13</v>
      </c>
      <c r="D39" s="7" t="s">
        <v>11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>
      <c r="A40" s="5" t="s">
        <v>22</v>
      </c>
      <c r="B40" s="5" t="s">
        <v>20</v>
      </c>
      <c r="C40" s="9" t="s">
        <v>14</v>
      </c>
      <c r="D40" s="10" t="s">
        <v>15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6.2">
      <c r="A41" s="1" t="s">
        <v>22</v>
      </c>
      <c r="B41" s="1" t="s">
        <v>20</v>
      </c>
      <c r="C41" s="12" t="s">
        <v>16</v>
      </c>
      <c r="D41" s="13" t="s">
        <v>17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5" t="s">
        <v>23</v>
      </c>
      <c r="B42" s="5" t="s">
        <v>20</v>
      </c>
      <c r="C42" s="6" t="s">
        <v>6</v>
      </c>
      <c r="D42" s="7" t="s">
        <v>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>
      <c r="A43" s="5" t="s">
        <v>23</v>
      </c>
      <c r="B43" s="5" t="s">
        <v>20</v>
      </c>
      <c r="C43" s="6" t="s">
        <v>8</v>
      </c>
      <c r="D43" s="7" t="s">
        <v>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>
      <c r="A44" s="5" t="s">
        <v>23</v>
      </c>
      <c r="B44" s="5" t="s">
        <v>20</v>
      </c>
      <c r="C44" s="6" t="s">
        <v>9</v>
      </c>
      <c r="D44" s="7" t="s">
        <v>11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A45" s="5" t="s">
        <v>23</v>
      </c>
      <c r="B45" s="5" t="s">
        <v>20</v>
      </c>
      <c r="C45" s="6" t="s">
        <v>10</v>
      </c>
      <c r="D45" s="7" t="s">
        <v>7</v>
      </c>
      <c r="E45" s="8">
        <v>5.4197058740669997</v>
      </c>
      <c r="F45" s="8">
        <v>78.529021626024004</v>
      </c>
      <c r="G45" s="8">
        <v>89.336669651405998</v>
      </c>
      <c r="H45" s="8">
        <v>87.505049752055996</v>
      </c>
      <c r="I45" s="8">
        <v>86.801492464011005</v>
      </c>
      <c r="J45" s="8">
        <v>89.586123034429207</v>
      </c>
      <c r="K45" s="8">
        <v>86.890635012578201</v>
      </c>
      <c r="L45" s="8">
        <v>88.2105714748417</v>
      </c>
      <c r="M45" s="8">
        <v>87.035774443024295</v>
      </c>
      <c r="N45" s="8">
        <v>85.989535802659205</v>
      </c>
      <c r="O45" s="8">
        <v>85.363251328726193</v>
      </c>
      <c r="P45" s="8">
        <v>85.689749937687907</v>
      </c>
      <c r="Q45" s="8">
        <v>76.651883400641907</v>
      </c>
      <c r="R45" s="8">
        <v>63.4122237513822</v>
      </c>
      <c r="S45" s="8">
        <v>53.603722912266598</v>
      </c>
      <c r="T45" s="8">
        <v>41.115858259486899</v>
      </c>
      <c r="U45" s="8">
        <v>35.148859771313703</v>
      </c>
      <c r="V45" s="8">
        <v>30.224787025780699</v>
      </c>
      <c r="W45" s="8">
        <v>27.0990996380593</v>
      </c>
      <c r="X45" s="8">
        <v>24.2084154041912</v>
      </c>
      <c r="Y45" s="8">
        <v>21.7031220680018</v>
      </c>
    </row>
    <row r="46" spans="1:25">
      <c r="A46" s="5" t="s">
        <v>23</v>
      </c>
      <c r="B46" s="5" t="s">
        <v>20</v>
      </c>
      <c r="C46" s="6" t="s">
        <v>12</v>
      </c>
      <c r="D46" s="7" t="s">
        <v>11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>
      <c r="A47" s="5" t="s">
        <v>23</v>
      </c>
      <c r="B47" s="5" t="s">
        <v>20</v>
      </c>
      <c r="C47" s="6" t="s">
        <v>13</v>
      </c>
      <c r="D47" s="7" t="s">
        <v>11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>
      <c r="A48" s="5" t="s">
        <v>23</v>
      </c>
      <c r="B48" s="5" t="s">
        <v>20</v>
      </c>
      <c r="C48" s="9" t="s">
        <v>14</v>
      </c>
      <c r="D48" s="10" t="s">
        <v>15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6.2">
      <c r="A49" s="1" t="s">
        <v>23</v>
      </c>
      <c r="B49" s="1" t="s">
        <v>20</v>
      </c>
      <c r="C49" s="12" t="s">
        <v>16</v>
      </c>
      <c r="D49" s="13" t="s">
        <v>17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5" t="s">
        <v>24</v>
      </c>
      <c r="B50" s="5" t="s">
        <v>20</v>
      </c>
      <c r="C50" s="6" t="s">
        <v>6</v>
      </c>
      <c r="D50" s="7" t="s">
        <v>7</v>
      </c>
      <c r="E50" s="8">
        <f>E34</f>
        <v>1346.3719958863801</v>
      </c>
      <c r="F50" s="8">
        <f t="shared" ref="F50:Y50" si="1">F34</f>
        <v>2149.06238532423</v>
      </c>
      <c r="G50" s="8">
        <f t="shared" si="1"/>
        <v>2225.0016923453099</v>
      </c>
      <c r="H50" s="8">
        <f t="shared" si="1"/>
        <v>2191.66783208267</v>
      </c>
      <c r="I50" s="8">
        <f t="shared" si="1"/>
        <v>2071.5401247147702</v>
      </c>
      <c r="J50" s="8">
        <f t="shared" si="1"/>
        <v>1768.8088270184901</v>
      </c>
      <c r="K50" s="8">
        <f t="shared" si="1"/>
        <v>1442.34114638252</v>
      </c>
      <c r="L50" s="8">
        <f t="shared" si="1"/>
        <v>1172.6351023193099</v>
      </c>
      <c r="M50" s="8">
        <f t="shared" si="1"/>
        <v>980.75492551391903</v>
      </c>
      <c r="N50" s="8">
        <f t="shared" si="1"/>
        <v>836.92639010284802</v>
      </c>
      <c r="O50" s="8">
        <f t="shared" si="1"/>
        <v>723.85618969560596</v>
      </c>
      <c r="P50" s="8">
        <f t="shared" si="1"/>
        <v>628.40676575520502</v>
      </c>
      <c r="Q50" s="8">
        <f t="shared" si="1"/>
        <v>558.03129470507201</v>
      </c>
      <c r="R50" s="8">
        <f t="shared" si="1"/>
        <v>501.83567341339102</v>
      </c>
      <c r="S50" s="8">
        <f t="shared" si="1"/>
        <v>454.47257619001198</v>
      </c>
      <c r="T50" s="8">
        <f t="shared" si="1"/>
        <v>413.97550171664801</v>
      </c>
      <c r="U50" s="8">
        <f t="shared" si="1"/>
        <v>381.75056234293498</v>
      </c>
      <c r="V50" s="8">
        <f t="shared" si="1"/>
        <v>352.47483973997998</v>
      </c>
      <c r="W50" s="8">
        <f t="shared" si="1"/>
        <v>327.21643526266899</v>
      </c>
      <c r="X50" s="8">
        <f t="shared" si="1"/>
        <v>302.368337241625</v>
      </c>
      <c r="Y50" s="8">
        <f t="shared" si="1"/>
        <v>282.30230740690001</v>
      </c>
    </row>
    <row r="51" spans="1:25">
      <c r="A51" s="5" t="s">
        <v>24</v>
      </c>
      <c r="B51" s="5" t="s">
        <v>20</v>
      </c>
      <c r="C51" s="6" t="s">
        <v>8</v>
      </c>
      <c r="D51" s="7" t="s">
        <v>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>
      <c r="A52" s="5" t="s">
        <v>24</v>
      </c>
      <c r="B52" s="5" t="s">
        <v>20</v>
      </c>
      <c r="C52" s="6" t="s">
        <v>9</v>
      </c>
      <c r="D52" s="7" t="s">
        <v>11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>
      <c r="A53" s="5" t="s">
        <v>24</v>
      </c>
      <c r="B53" s="5" t="s">
        <v>20</v>
      </c>
      <c r="C53" s="6" t="s">
        <v>10</v>
      </c>
      <c r="D53" s="7" t="s">
        <v>7</v>
      </c>
      <c r="E53" s="8">
        <f>E45</f>
        <v>5.4197058740669997</v>
      </c>
      <c r="F53" s="8">
        <f t="shared" ref="F53:Y53" si="2">F45</f>
        <v>78.529021626024004</v>
      </c>
      <c r="G53" s="8">
        <f t="shared" si="2"/>
        <v>89.336669651405998</v>
      </c>
      <c r="H53" s="8">
        <f t="shared" si="2"/>
        <v>87.505049752055996</v>
      </c>
      <c r="I53" s="8">
        <f t="shared" si="2"/>
        <v>86.801492464011005</v>
      </c>
      <c r="J53" s="8">
        <f t="shared" si="2"/>
        <v>89.586123034429207</v>
      </c>
      <c r="K53" s="8">
        <f t="shared" si="2"/>
        <v>86.890635012578201</v>
      </c>
      <c r="L53" s="8">
        <f t="shared" si="2"/>
        <v>88.2105714748417</v>
      </c>
      <c r="M53" s="8">
        <f t="shared" si="2"/>
        <v>87.035774443024295</v>
      </c>
      <c r="N53" s="8">
        <f t="shared" si="2"/>
        <v>85.989535802659205</v>
      </c>
      <c r="O53" s="8">
        <f t="shared" si="2"/>
        <v>85.363251328726193</v>
      </c>
      <c r="P53" s="8">
        <f t="shared" si="2"/>
        <v>85.689749937687907</v>
      </c>
      <c r="Q53" s="8">
        <f t="shared" si="2"/>
        <v>76.651883400641907</v>
      </c>
      <c r="R53" s="8">
        <f t="shared" si="2"/>
        <v>63.4122237513822</v>
      </c>
      <c r="S53" s="8">
        <f t="shared" si="2"/>
        <v>53.603722912266598</v>
      </c>
      <c r="T53" s="8">
        <f t="shared" si="2"/>
        <v>41.115858259486899</v>
      </c>
      <c r="U53" s="8">
        <f t="shared" si="2"/>
        <v>35.148859771313703</v>
      </c>
      <c r="V53" s="8">
        <f t="shared" si="2"/>
        <v>30.224787025780699</v>
      </c>
      <c r="W53" s="8">
        <f t="shared" si="2"/>
        <v>27.0990996380593</v>
      </c>
      <c r="X53" s="8">
        <f t="shared" si="2"/>
        <v>24.2084154041912</v>
      </c>
      <c r="Y53" s="8">
        <f t="shared" si="2"/>
        <v>21.7031220680018</v>
      </c>
    </row>
    <row r="54" spans="1:25">
      <c r="A54" s="5" t="s">
        <v>24</v>
      </c>
      <c r="B54" s="5" t="s">
        <v>20</v>
      </c>
      <c r="C54" s="6" t="s">
        <v>12</v>
      </c>
      <c r="D54" s="7" t="s">
        <v>11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>
      <c r="A55" s="5" t="s">
        <v>24</v>
      </c>
      <c r="B55" s="5" t="s">
        <v>20</v>
      </c>
      <c r="C55" s="6" t="s">
        <v>13</v>
      </c>
      <c r="D55" s="7" t="s">
        <v>11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>
      <c r="A56" s="5" t="s">
        <v>24</v>
      </c>
      <c r="B56" s="5" t="s">
        <v>20</v>
      </c>
      <c r="C56" s="9" t="s">
        <v>14</v>
      </c>
      <c r="D56" s="10" t="s">
        <v>15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6.2">
      <c r="A57" s="1" t="s">
        <v>24</v>
      </c>
      <c r="B57" s="1" t="s">
        <v>20</v>
      </c>
      <c r="C57" s="12" t="s">
        <v>16</v>
      </c>
      <c r="D57" s="13" t="s">
        <v>17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</sheetData>
  <conditionalFormatting sqref="E3:U3 E4:Y4 E5:U6 E7:Y7">
    <cfRule type="cellIs" dxfId="3" priority="4" operator="lessThan">
      <formula>0</formula>
    </cfRule>
  </conditionalFormatting>
  <conditionalFormatting sqref="E11:U11 E12:Y12 E13:U14 E15:Y15 E19:U19 E20:Y20 E21:U22 E23:Y23 E27:U27 E28:Y28 E29:U30 E31:Y31 E35:U35 E36:Y36 E37:U38 E39:Y39 E43:U43 E44:Y44 E45:U46 E47:Y47 E51:U51 E52:Y52 E53:U54 E55:Y55">
    <cfRule type="cellIs" dxfId="2" priority="2" operator="lessThan">
      <formula>0</formula>
    </cfRule>
  </conditionalFormatting>
  <conditionalFormatting sqref="E1:Y2">
    <cfRule type="cellIs" dxfId="1" priority="3" operator="lessThan">
      <formula>0</formula>
    </cfRule>
  </conditionalFormatting>
  <conditionalFormatting sqref="E10:Y10 E18:Y18 E26:Y26 E34:Y34 E42:Y42 E50:Y5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Шваб</dc:creator>
  <cp:lastModifiedBy>Кирилл Шваб</cp:lastModifiedBy>
  <dcterms:created xsi:type="dcterms:W3CDTF">2015-06-05T18:17:20Z</dcterms:created>
  <dcterms:modified xsi:type="dcterms:W3CDTF">2026-09-29T19:26:06Z</dcterms:modified>
</cp:coreProperties>
</file>